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Adjust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1B2A4A"/>
      <sz val="14"/>
    </font>
    <font>
      <i val="1"/>
      <color rgb="00667085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5" fillId="0" borderId="0" pivotButton="0" quotePrefix="0" xfId="0"/>
    <xf numFmtId="165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CMA template: Table 1, the comps</t>
        </is>
      </c>
    </row>
    <row r="2">
      <c r="A2" s="2" t="inlineStr">
        <is>
          <t>Sample data. Not an appraisal. A CMA is an agent's opinion of the likely sale price. Replace the yellow cells with your own data.</t>
        </is>
      </c>
    </row>
    <row r="4">
      <c r="A4" s="3" t="inlineStr">
        <is>
          <t>Subject home</t>
        </is>
      </c>
    </row>
    <row r="5">
      <c r="A5" s="4" t="inlineStr">
        <is>
          <t>Address</t>
        </is>
      </c>
      <c r="B5" s="4" t="inlineStr">
        <is>
          <t>Beds</t>
        </is>
      </c>
      <c r="C5" s="4" t="inlineStr">
        <is>
          <t>Baths</t>
        </is>
      </c>
      <c r="D5" s="4" t="inlineStr">
        <is>
          <t>Sq ft</t>
        </is>
      </c>
      <c r="E5" s="4" t="inlineStr">
        <is>
          <t>Lot (sq ft)</t>
        </is>
      </c>
      <c r="F5" s="4" t="inlineStr">
        <is>
          <t>Condition / notes</t>
        </is>
      </c>
    </row>
    <row r="6">
      <c r="A6" s="5" t="inlineStr">
        <is>
          <t>100 Sample Ln (made up)</t>
        </is>
      </c>
      <c r="B6" s="5" t="n">
        <v>3</v>
      </c>
      <c r="C6" s="5" t="n">
        <v>2</v>
      </c>
      <c r="D6" s="5" t="n">
        <v>1800</v>
      </c>
      <c r="E6" s="5" t="n">
        <v>7000</v>
      </c>
      <c r="F6" s="5" t="inlineStr">
        <is>
          <t>Newer kitchen, no garage</t>
        </is>
      </c>
    </row>
    <row r="8">
      <c r="A8" s="3" t="inlineStr">
        <is>
          <t>Comparable sales (use closed sales, recent and nearby)</t>
        </is>
      </c>
    </row>
    <row r="9">
      <c r="A9" s="4" t="inlineStr">
        <is>
          <t>Comp</t>
        </is>
      </c>
      <c r="B9" s="4" t="inlineStr">
        <is>
          <t>Address</t>
        </is>
      </c>
      <c r="C9" s="4" t="inlineStr">
        <is>
          <t>Sold price</t>
        </is>
      </c>
      <c r="D9" s="4" t="inlineStr">
        <is>
          <t>Sold date</t>
        </is>
      </c>
      <c r="E9" s="4" t="inlineStr">
        <is>
          <t>Beds</t>
        </is>
      </c>
      <c r="F9" s="4" t="inlineStr">
        <is>
          <t>Baths</t>
        </is>
      </c>
      <c r="G9" s="4" t="inlineStr">
        <is>
          <t>Sq ft</t>
        </is>
      </c>
    </row>
    <row r="10">
      <c r="A10" s="6" t="inlineStr">
        <is>
          <t>A</t>
        </is>
      </c>
      <c r="B10" s="5" t="inlineStr">
        <is>
          <t>A. Sample St</t>
        </is>
      </c>
      <c r="C10" s="7" t="n">
        <v>400000</v>
      </c>
      <c r="D10" s="5" t="inlineStr">
        <is>
          <t>2026-08-12</t>
        </is>
      </c>
      <c r="E10" s="5" t="n">
        <v>3</v>
      </c>
      <c r="F10" s="5" t="n">
        <v>2</v>
      </c>
      <c r="G10" s="5" t="n">
        <v>1850</v>
      </c>
    </row>
    <row r="11">
      <c r="A11" s="6" t="inlineStr">
        <is>
          <t>B</t>
        </is>
      </c>
      <c r="B11" s="5" t="inlineStr">
        <is>
          <t>B. Sample Ave</t>
        </is>
      </c>
      <c r="C11" s="7" t="n">
        <v>405000</v>
      </c>
      <c r="D11" s="5" t="inlineStr">
        <is>
          <t>2026-09-03</t>
        </is>
      </c>
      <c r="E11" s="5" t="n">
        <v>3</v>
      </c>
      <c r="F11" s="5" t="n">
        <v>2</v>
      </c>
      <c r="G11" s="5" t="n">
        <v>1800</v>
      </c>
    </row>
    <row r="12">
      <c r="A12" s="6" t="inlineStr">
        <is>
          <t>C</t>
        </is>
      </c>
      <c r="B12" s="5" t="inlineStr">
        <is>
          <t>C. Sample Rd</t>
        </is>
      </c>
      <c r="C12" s="7" t="n">
        <v>398000</v>
      </c>
      <c r="D12" s="5" t="inlineStr">
        <is>
          <t>2026-07-21</t>
        </is>
      </c>
      <c r="E12" s="5" t="n">
        <v>4</v>
      </c>
      <c r="F12" s="5" t="n">
        <v>2</v>
      </c>
      <c r="G12" s="5" t="n">
        <v>1900</v>
      </c>
    </row>
    <row r="13">
      <c r="A13" s="6" t="inlineStr">
        <is>
          <t>D</t>
        </is>
      </c>
      <c r="B13" s="5" t="inlineStr"/>
      <c r="C13" s="7" t="n"/>
      <c r="D13" s="5" t="inlineStr"/>
      <c r="E13" s="5" t="n"/>
      <c r="F13" s="5" t="n"/>
      <c r="G13" s="5" t="n"/>
    </row>
    <row r="14">
      <c r="A14" s="6" t="inlineStr">
        <is>
          <t>E</t>
        </is>
      </c>
      <c r="B14" s="5" t="inlineStr"/>
      <c r="C14" s="7" t="n"/>
      <c r="D14" s="5" t="inlineStr"/>
      <c r="E14" s="5" t="n"/>
      <c r="F14" s="5" t="n"/>
      <c r="G1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4" customWidth="1" min="4" max="4"/>
  </cols>
  <sheetData>
    <row r="1">
      <c r="A1" s="1" t="inlineStr">
        <is>
          <t>CMA template: Table 2, the adjustments</t>
        </is>
      </c>
    </row>
    <row r="2">
      <c r="A2" s="2" t="inlineStr">
        <is>
          <t>Sample data. Not an appraisal. A CMA is an agent's opinion of the likely sale price. Replace the yellow cells with your own data.</t>
        </is>
      </c>
    </row>
    <row r="4">
      <c r="A4" s="8" t="inlineStr">
        <is>
          <t>Subtract when the comp has something the subject lacks. Add when the subject has something the comp lacks. Write the reason in a few words.</t>
        </is>
      </c>
    </row>
    <row r="5">
      <c r="A5" s="4" t="inlineStr">
        <is>
          <t>Comp (A to E)</t>
        </is>
      </c>
      <c r="B5" s="4" t="inlineStr">
        <is>
          <t>Difference</t>
        </is>
      </c>
      <c r="C5" s="4" t="inlineStr">
        <is>
          <t>Amount ($, + or -)</t>
        </is>
      </c>
      <c r="D5" s="4" t="inlineStr">
        <is>
          <t>Reason</t>
        </is>
      </c>
    </row>
    <row r="6">
      <c r="A6" s="5" t="inlineStr">
        <is>
          <t>A</t>
        </is>
      </c>
      <c r="B6" s="5" t="inlineStr">
        <is>
          <t>Garage</t>
        </is>
      </c>
      <c r="C6" s="9" t="n">
        <v>-10000</v>
      </c>
      <c r="D6" s="5" t="inlineStr">
        <is>
          <t>Comp has a garage, subject does not</t>
        </is>
      </c>
    </row>
    <row r="7">
      <c r="A7" s="5" t="inlineStr">
        <is>
          <t>A</t>
        </is>
      </c>
      <c r="B7" s="5" t="inlineStr">
        <is>
          <t>Kitchen</t>
        </is>
      </c>
      <c r="C7" s="9" t="n">
        <v>6000</v>
      </c>
      <c r="D7" s="5" t="inlineStr">
        <is>
          <t>Subject has a newer kitchen</t>
        </is>
      </c>
    </row>
    <row r="8">
      <c r="A8" s="5" t="inlineStr">
        <is>
          <t>B</t>
        </is>
      </c>
      <c r="B8" s="5" t="inlineStr">
        <is>
          <t>Lot size</t>
        </is>
      </c>
      <c r="C8" s="9" t="n">
        <v>-3500</v>
      </c>
      <c r="D8" s="5" t="inlineStr">
        <is>
          <t>Comp lot is larger</t>
        </is>
      </c>
    </row>
    <row r="9">
      <c r="A9" s="5" t="inlineStr">
        <is>
          <t>C</t>
        </is>
      </c>
      <c r="B9" s="5" t="inlineStr">
        <is>
          <t>Extra bedroom</t>
        </is>
      </c>
      <c r="C9" s="9" t="n">
        <v>-8000</v>
      </c>
      <c r="D9" s="5" t="inlineStr">
        <is>
          <t>Comp has a fourth bedroom</t>
        </is>
      </c>
    </row>
    <row r="10">
      <c r="A10" s="5" t="inlineStr"/>
      <c r="B10" s="5" t="inlineStr"/>
      <c r="C10" s="9" t="n"/>
      <c r="D10" s="5" t="inlineStr"/>
    </row>
    <row r="11">
      <c r="A11" s="5" t="inlineStr"/>
      <c r="B11" s="5" t="inlineStr"/>
      <c r="C11" s="9" t="n"/>
      <c r="D11" s="5" t="inlineStr"/>
    </row>
    <row r="12">
      <c r="A12" s="5" t="inlineStr"/>
      <c r="B12" s="5" t="inlineStr"/>
      <c r="C12" s="9" t="n"/>
      <c r="D12" s="5" t="inlineStr"/>
    </row>
    <row r="13">
      <c r="A13" s="5" t="inlineStr"/>
      <c r="B13" s="5" t="inlineStr"/>
      <c r="C13" s="9" t="n"/>
      <c r="D13" s="5" t="inlineStr"/>
    </row>
    <row r="14">
      <c r="A14" s="5" t="inlineStr"/>
      <c r="B14" s="5" t="inlineStr"/>
      <c r="C14" s="9" t="n"/>
      <c r="D14" s="5" t="inlineStr"/>
    </row>
    <row r="15">
      <c r="A15" s="5" t="inlineStr"/>
      <c r="B15" s="5" t="inlineStr"/>
      <c r="C15" s="9" t="n"/>
      <c r="D1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18" customWidth="1" min="4" max="4"/>
    <col width="26" customWidth="1" min="5" max="5"/>
  </cols>
  <sheetData>
    <row r="1">
      <c r="A1" s="1" t="inlineStr">
        <is>
          <t>CMA template: Table 3, the summary</t>
        </is>
      </c>
    </row>
    <row r="2">
      <c r="A2" s="2" t="inlineStr">
        <is>
          <t>Sample data. Not an appraisal. A CMA is an agent's opinion of the likely sale price. Replace the yellow cells with your own data.</t>
        </is>
      </c>
    </row>
    <row r="4">
      <c r="A4" s="4" t="inlineStr">
        <is>
          <t>Comp</t>
        </is>
      </c>
      <c r="B4" s="4" t="inlineStr">
        <is>
          <t>Sold price</t>
        </is>
      </c>
      <c r="C4" s="4" t="inlineStr">
        <is>
          <t>Total adjustments</t>
        </is>
      </c>
      <c r="D4" s="4" t="inlineStr">
        <is>
          <t>Adjusted value</t>
        </is>
      </c>
      <c r="E4" s="4" t="inlineStr">
        <is>
          <t>Weight (High, Medium, Low)</t>
        </is>
      </c>
    </row>
    <row r="5">
      <c r="A5" s="6">
        <f>IF(Comps!C10="","",Comps!A10)</f>
        <v/>
      </c>
      <c r="B5" s="10">
        <f>IF(Comps!C10="","",Comps!C10)</f>
        <v/>
      </c>
      <c r="C5" s="11">
        <f>IF(Comps!C10="","",SUMIF(Adjustments!A$6:A$15,Comps!A10,Adjustments!C$6:C$15))</f>
        <v/>
      </c>
      <c r="D5" s="10">
        <f>IF(Comps!C10="","",B5+C5)</f>
        <v/>
      </c>
      <c r="E5" s="5" t="inlineStr">
        <is>
          <t>High</t>
        </is>
      </c>
    </row>
    <row r="6">
      <c r="A6" s="6">
        <f>IF(Comps!C11="","",Comps!A11)</f>
        <v/>
      </c>
      <c r="B6" s="10">
        <f>IF(Comps!C11="","",Comps!C11)</f>
        <v/>
      </c>
      <c r="C6" s="11">
        <f>IF(Comps!C11="","",SUMIF(Adjustments!A$6:A$15,Comps!A11,Adjustments!C$6:C$15))</f>
        <v/>
      </c>
      <c r="D6" s="10">
        <f>IF(Comps!C11="","",B6+C6)</f>
        <v/>
      </c>
      <c r="E6" s="5" t="inlineStr">
        <is>
          <t>Medium</t>
        </is>
      </c>
    </row>
    <row r="7">
      <c r="A7" s="6">
        <f>IF(Comps!C12="","",Comps!A12)</f>
        <v/>
      </c>
      <c r="B7" s="10">
        <f>IF(Comps!C12="","",Comps!C12)</f>
        <v/>
      </c>
      <c r="C7" s="11">
        <f>IF(Comps!C12="","",SUMIF(Adjustments!A$6:A$15,Comps!A12,Adjustments!C$6:C$15))</f>
        <v/>
      </c>
      <c r="D7" s="10">
        <f>IF(Comps!C12="","",B7+C7)</f>
        <v/>
      </c>
      <c r="E7" s="5" t="inlineStr">
        <is>
          <t>Low</t>
        </is>
      </c>
    </row>
    <row r="8">
      <c r="A8" s="6">
        <f>IF(Comps!C13="","",Comps!A13)</f>
        <v/>
      </c>
      <c r="B8" s="10">
        <f>IF(Comps!C13="","",Comps!C13)</f>
        <v/>
      </c>
      <c r="C8" s="11">
        <f>IF(Comps!C13="","",SUMIF(Adjustments!A$6:A$15,Comps!A13,Adjustments!C$6:C$15))</f>
        <v/>
      </c>
      <c r="D8" s="10">
        <f>IF(Comps!C13="","",B8+C8)</f>
        <v/>
      </c>
      <c r="E8" s="5" t="inlineStr"/>
    </row>
    <row r="9">
      <c r="A9" s="6">
        <f>IF(Comps!C14="","",Comps!A14)</f>
        <v/>
      </c>
      <c r="B9" s="10">
        <f>IF(Comps!C14="","",Comps!C14)</f>
        <v/>
      </c>
      <c r="C9" s="11">
        <f>IF(Comps!C14="","",SUMIF(Adjustments!A$6:A$15,Comps!A14,Adjustments!C$6:C$15))</f>
        <v/>
      </c>
      <c r="D9" s="10">
        <f>IF(Comps!C14="","",B9+C9)</f>
        <v/>
      </c>
      <c r="E9" s="5" t="inlineStr"/>
    </row>
    <row r="11">
      <c r="A11" s="3" t="inlineStr">
        <is>
          <t>Price range (lowest to highest adjusted value)</t>
        </is>
      </c>
    </row>
    <row r="12">
      <c r="A12" s="3" t="inlineStr">
        <is>
          <t>Low</t>
        </is>
      </c>
      <c r="B12" s="12">
        <f>IF(COUNT(D5:D9)=0,"",MIN(D5:D9))</f>
        <v/>
      </c>
    </row>
    <row r="13">
      <c r="A13" s="3" t="inlineStr">
        <is>
          <t>High</t>
        </is>
      </c>
      <c r="B13" s="12">
        <f>IF(COUNT(D5:D9)=0,"",MAX(D5:D9))</f>
        <v/>
      </c>
    </row>
    <row r="14">
      <c r="A14" s="3" t="n"/>
      <c r="B14" s="12" t="n"/>
    </row>
    <row r="16">
      <c r="A16" s="3" t="inlineStr">
        <is>
          <t>Notes for the seller conversation</t>
        </is>
      </c>
    </row>
    <row r="17">
      <c r="A17" s="13" t="inlineStr">
        <is>
          <t>Say that this is your opinion of the likely sale price and that the market decides. Do not call it an appraisal. Check your MLS rules before sharing sold data.</t>
        </is>
      </c>
    </row>
    <row r="18"/>
    <row r="19"/>
  </sheetData>
  <mergeCells count="1">
    <mergeCell ref="A17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2026-10-26T08:43:09Z</dcterms:created>
  <dcterms:modified xmlns:dcterms="http://purl.org/dc/terms/" xmlns:xsi="http://www.w3.org/2001/XMLSchema-instance" xsi:type="dcterms:W3CDTF">2026-10-26T08:43:19Z</dcterms:modified>
</cp:coreProperties>
</file>